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ertn\Downloads\"/>
    </mc:Choice>
  </mc:AlternateContent>
  <xr:revisionPtr revIDLastSave="0" documentId="13_ncr:1_{BF8E3C59-0979-448A-AA6E-D7106ECFEAF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Gardens 1" sheetId="1" r:id="rId1"/>
    <sheet name="Model list" sheetId="6" r:id="rId2"/>
    <sheet name="Leaflet text" sheetId="2" r:id="rId3"/>
    <sheet name="AR Text" sheetId="4" r:id="rId4"/>
    <sheet name="Create AR Per Tree" sheetId="5" r:id="rId5"/>
    <sheet name="Add markers to map" sheetId="3" r:id="rId6"/>
    <sheet name="Hunt2" sheetId="7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1" i="5"/>
  <c r="I2" i="7"/>
  <c r="I3" i="7"/>
  <c r="I4" i="7"/>
  <c r="I5" i="7"/>
  <c r="I1" i="7"/>
  <c r="B1" i="3"/>
  <c r="A1" i="3"/>
  <c r="A2" i="3"/>
  <c r="A3" i="3"/>
  <c r="A4" i="3"/>
  <c r="A5" i="3"/>
  <c r="B5" i="3" s="1"/>
  <c r="A6" i="3"/>
  <c r="A7" i="3"/>
  <c r="A8" i="3"/>
  <c r="A9" i="3"/>
  <c r="B9" i="3" s="1"/>
  <c r="A10" i="3"/>
  <c r="A11" i="3"/>
  <c r="A12" i="3"/>
  <c r="A13" i="3"/>
  <c r="B13" i="3" s="1"/>
  <c r="A14" i="3"/>
  <c r="A15" i="3"/>
  <c r="A16" i="3"/>
  <c r="A17" i="3"/>
  <c r="B2" i="3"/>
  <c r="B3" i="3"/>
  <c r="B4" i="3"/>
  <c r="B6" i="3"/>
  <c r="B7" i="3"/>
  <c r="B8" i="3"/>
  <c r="B10" i="3"/>
  <c r="B11" i="3"/>
  <c r="B12" i="3"/>
  <c r="B14" i="3"/>
  <c r="B15" i="3"/>
  <c r="B16" i="3"/>
  <c r="K3" i="5" a="1"/>
  <c r="G3" i="5" a="1"/>
  <c r="C3" i="5" a="1"/>
  <c r="H3" i="5" a="1"/>
  <c r="I3" i="5" a="1"/>
  <c r="J3" i="5" a="1"/>
  <c r="F3" i="5" a="1"/>
  <c r="B3" i="5" a="1"/>
  <c r="D3" i="5" a="1"/>
  <c r="D1" i="5" a="1"/>
  <c r="E3" i="5" a="1"/>
  <c r="A3" i="5" a="1"/>
  <c r="K3" i="5" l="1"/>
  <c r="J3" i="5"/>
  <c r="I3" i="5"/>
  <c r="H3" i="5"/>
  <c r="G3" i="5"/>
  <c r="F3" i="5"/>
  <c r="E3" i="5"/>
  <c r="D3" i="5"/>
  <c r="C3" i="5"/>
  <c r="B3" i="5"/>
  <c r="A3" i="5"/>
  <c r="D1" i="5"/>
  <c r="A4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<sst xmlns="http://schemas.openxmlformats.org/spreadsheetml/2006/main" count="177" uniqueCount="112">
  <si>
    <t>X</t>
  </si>
  <si>
    <t>Y</t>
  </si>
  <si>
    <t>TreeAddressAuto</t>
  </si>
  <si>
    <t>Tree_Location</t>
  </si>
  <si>
    <t>ScientificName</t>
  </si>
  <si>
    <t>CommonName</t>
  </si>
  <si>
    <t>Family</t>
  </si>
  <si>
    <t>DBH_mm</t>
  </si>
  <si>
    <t>Crown_Spread_M</t>
  </si>
  <si>
    <t>Height_M</t>
  </si>
  <si>
    <t>TreeID</t>
  </si>
  <si>
    <t>195 Chapel Road, Bankstown</t>
  </si>
  <si>
    <t>Bankstown City Gardens</t>
  </si>
  <si>
    <t>Other species (Native &amp; Evergreen)</t>
  </si>
  <si>
    <t>N/A</t>
  </si>
  <si>
    <t>WVK-BNI-D1A-GU3</t>
  </si>
  <si>
    <t>Hymenosporum flavum</t>
  </si>
  <si>
    <t>Native Frangipani</t>
  </si>
  <si>
    <t>Pittosporaceae</t>
  </si>
  <si>
    <t>QIN-QZ9-2A9-MA5</t>
  </si>
  <si>
    <t>Stenocarpus sinuatus</t>
  </si>
  <si>
    <t>Queensland firewheel</t>
  </si>
  <si>
    <t>Proteaceae</t>
  </si>
  <si>
    <t>S34-2ET-CNA-3C9</t>
  </si>
  <si>
    <t>Brachychiton discolor</t>
  </si>
  <si>
    <t>Lacebark Tree</t>
  </si>
  <si>
    <t>Malvaceae</t>
  </si>
  <si>
    <t>C04-LFW-LOK-6GF</t>
  </si>
  <si>
    <t>TFR-25I-CRA-RZC</t>
  </si>
  <si>
    <t>Eucalyptus pilularis</t>
  </si>
  <si>
    <t>Blackbutt</t>
  </si>
  <si>
    <t>Myrtaceae</t>
  </si>
  <si>
    <t>OR8-H83-J35-6N4</t>
  </si>
  <si>
    <t>JTR-BYT-HW1-KRY</t>
  </si>
  <si>
    <t>Ficus microcarpa var 'hillii'</t>
  </si>
  <si>
    <t>Hill's Weeping Fig</t>
  </si>
  <si>
    <t>Moraceae</t>
  </si>
  <si>
    <t>AIK-NE0-N7U-24V</t>
  </si>
  <si>
    <t>Jacaranda mimosifolia</t>
  </si>
  <si>
    <t>Jacaranda</t>
  </si>
  <si>
    <t>Bignoniaceae</t>
  </si>
  <si>
    <t>IL8-0ZL-DOQ-4BO</t>
  </si>
  <si>
    <t>Casuarina cunninghamiana</t>
  </si>
  <si>
    <t>River She-oak</t>
  </si>
  <si>
    <t>Casuarinaceae</t>
  </si>
  <si>
    <t>0T3-T0B-4L9-DEX</t>
  </si>
  <si>
    <t>VKF-WFC-ER9-WEU</t>
  </si>
  <si>
    <t>Melaleuca quinquenervia</t>
  </si>
  <si>
    <t>Broad leafed Paperbark</t>
  </si>
  <si>
    <t>7T0-YFY-17O-CFN</t>
  </si>
  <si>
    <t>Angophora costata</t>
  </si>
  <si>
    <t>Sydney Red Gum</t>
  </si>
  <si>
    <t>GTC-HUK-EMM-Y4Z</t>
  </si>
  <si>
    <t>Podocarpus elatus</t>
  </si>
  <si>
    <t>Illawarra Plum</t>
  </si>
  <si>
    <t>Podocarpaceae</t>
  </si>
  <si>
    <t>3RI-W49-EW7-PEF</t>
  </si>
  <si>
    <t>5YG-T68-5WO-KWY</t>
  </si>
  <si>
    <t>2TT-20C-VDE-T5O</t>
  </si>
  <si>
    <t>Eucalyptus microcorys</t>
  </si>
  <si>
    <t>Tallowood</t>
  </si>
  <si>
    <t>C35-J0X-WQK-0CK</t>
  </si>
  <si>
    <t>MainSphereTreeBlue.glb</t>
  </si>
  <si>
    <t>MainSphereTreeFluro.glb</t>
  </si>
  <si>
    <t>MainSphereTreeGreen.glb</t>
  </si>
  <si>
    <t>MainSphereTreeLightGreen.glb</t>
  </si>
  <si>
    <t>MainSphereTreeTorq.glb</t>
  </si>
  <si>
    <t xml:space="preserve">L.marker([-33.92213356,151.0331755],{icon: greenIcon}).addTo(map) 
  .bindPopup('&lt;a href="./Tree1.html"&gt;Tree 1&lt;/a&gt;'); 
    </t>
  </si>
  <si>
    <t>L.marker([</t>
  </si>
  <si>
    <t>,</t>
  </si>
  <si>
    <t>], {icon: greenIcon}).addTo(map)</t>
  </si>
  <si>
    <t xml:space="preserve">  .bindPopup('&lt;a href="./Tree</t>
  </si>
  <si>
    <t xml:space="preserve">.html"&gt;Tree </t>
  </si>
  <si>
    <t xml:space="preserve">&lt;/a&gt;'); </t>
  </si>
  <si>
    <t>&lt;!DOCTYPE html&gt;
&lt;html&gt;
&lt;head&gt;
    &lt;meta charset='utf-8'&gt;
    &lt;meta http-equiv='X-UA-Compatible' content='IE=edge'&gt;
    &lt;title&gt;Tree 1&lt;/title&gt;
    &lt;script src="https://aframe.io/releases/1.0.4/aframe.min.js"&gt;&lt;/script&gt;
    &lt;script src='https://raw.githack.com/AR-js-org/AR.js/master/aframe/build/aframe-ar-nft.js'&gt;&lt;/script&gt;
	&lt;script src="https://rawgit.com/blairmacintyre/aframe-look-at-billboard-component/master/dist/aframe-look-at-billboard-component.min.js"&gt;&lt;/script&gt;
&lt;/head&gt;
&lt;body style='margin: 10; overflow: hidden;'&gt;
	    &lt;div
      style="position: fixed; top:80%; width:100%; text-align: center; z-index: 1;"
    &gt;
		    &lt;img src="./media/back button.png" width="80" height="80" 
      &lt;button id="Back"&gt;
      &lt;/button&gt;
    &lt;/div&gt;
    &lt;a-scene
        cursor='rayOrigin: mouse; fuse: true; fuseTimeout: 0;'
        raycaster="objects: [clickhandler];"
        vr-mode-ui="enabled: false"
		embedded
		arjs='sourceType: webcam; debugUIEnabled: false;'&gt;
	    &lt;a-gltf-model 
	    id="</t>
  </si>
  <si>
    <t>Tree 1</t>
  </si>
  <si>
    <t>"
		src="src: url(./media/</t>
  </si>
  <si>
    <t xml:space="preserve">)"
            scale="0.5 0.5 0.5"
			   animation="property: rotation; to: 0 360 0; loop: true; dur: 10000"
              gps-entity-place="latitude: </t>
  </si>
  <si>
    <t>-33?</t>
  </si>
  <si>
    <t xml:space="preserve">; longitude: </t>
  </si>
  <si>
    <t>;"&gt;
	       &lt;a-text id="treetext1" value="This is a \n</t>
  </si>
  <si>
    <t>Common name</t>
  </si>
  <si>
    <t>\n(</t>
  </si>
  <si>
    <t>Scientific name</t>
  </si>
  <si>
    <t xml:space="preserve">) \n\nIt has a Trunk that is </t>
  </si>
  <si>
    <t>DBH</t>
  </si>
  <si>
    <t>mm wide" align="center" color="white" visible="true" scale="3.5 3.5 3.5" position="0 -2.5 0" billboard&gt;&lt;/a-text&gt;
		    &lt;a-text id="treetext2" value="</t>
  </si>
  <si>
    <t>Title (Tree Number)</t>
  </si>
  <si>
    <t>" align="center" color="blue" visible="true" scale="2 2 2" position="0 1.5 1" billboard&gt;&lt;/a-text&gt;
		    &lt;a-text id="treetext3" value="</t>
  </si>
  <si>
    <t>Height</t>
  </si>
  <si>
    <t>m Tall" align="center" color="red" visible="true" scale="2 2 2" position="3 2.5 1.5" billboard&gt;&lt;/a-text&gt;
		    &lt;a-text id="treetext4" value="</t>
  </si>
  <si>
    <t>Width</t>
  </si>
  <si>
    <t>m Wide" align="center" color="yellow" visible="true" scale="2 2 2" position="0 4.8 3.5" billboard&gt;&lt;/a-text&gt;
       &lt;/a-gltf-model&gt;
        &lt;a-camera look-controls-enabled='false' arjs-look-controls='smoothingFactor: 0.1' gps-camera="simulateLatitude: -33.922294032896694; simulateLongitude: 151.0331577904548;" rotation-reader&gt;
	&lt;/a-camera&gt;
&lt;/a-scene&gt;
&lt;script type="text/javascript"&gt;
     document.querySelector("#Back").addEventListener("click", function() {
       window.history.back();
      });
    &lt;/script&gt;
  &lt;/body&gt;
&lt;/body&gt;
&lt;/html&gt;</t>
  </si>
  <si>
    <t>Tree</t>
  </si>
  <si>
    <t>Click this to change</t>
  </si>
  <si>
    <t>Delete the double Quote marks ("")</t>
  </si>
  <si>
    <t>Castle</t>
  </si>
  <si>
    <t>-33.97804745713309, 151.05558168245958</t>
  </si>
  <si>
    <t xml:space="preserve">L.marker([-33.97804745713309, 151.05558168245958], {icon: violetIcon}).addTo(map)
  .bindPopup('&lt;a href="./AR5.html"&gt;Whats Here? 5&lt;/a&gt;'); </t>
  </si>
  <si>
    <t>Mini minion</t>
  </si>
  <si>
    <t>-33.97861357989953, 151.05546538769633</t>
  </si>
  <si>
    <t xml:space="preserve">L.marker([-33.97861357989953, 151.05546538769633], {icon: violetIcon}).addTo(map)
  .bindPopup('&lt;a href="./AR4.html"&gt;Whats Here? 4&lt;/a&gt;'); </t>
  </si>
  <si>
    <t>Hamburger</t>
  </si>
  <si>
    <t>-33.978701087498635, 151.0541387659527</t>
  </si>
  <si>
    <t xml:space="preserve">L.marker([-33.978701087498635, 151.0541387659527], {icon: violetIcon}).addTo(map)
  .bindPopup('&lt;a href="./AR3.html"&gt;Whats Here? 3&lt;/a&gt;'); </t>
  </si>
  <si>
    <t>Giant  minion</t>
  </si>
  <si>
    <t>-33.9782857574103, 151.05607345240398</t>
  </si>
  <si>
    <t xml:space="preserve">L.marker([-33.9782857574103, 151.05607345240398], {icon: violetIcon}).addTo(map)
  .bindPopup('&lt;a href="./AR2.html"&gt;Whats Here? 2&lt;/a&gt;'); </t>
  </si>
  <si>
    <t>Love</t>
  </si>
  <si>
    <t>-33.97679758589208, 151.05888488759294</t>
  </si>
  <si>
    <t xml:space="preserve">L.marker([-33.97679758589208, 151.05888488759294], {icon: violetIcon}).addTo(map)
  .bindPopup('&lt;a href="./AR1.html"&gt;Whats Here? 1&lt;/a&gt;'); </t>
  </si>
  <si>
    <t>https://cbc-tree-bot.github.io/StreetTreeAR/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</si>
</sst>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24292F"/>
      <name val="Consolas"/>
      <family val="3"/>
    </font>
    <font>
      <sz val="10"/>
      <color theme="1"/>
      <name val="Calibri"/>
      <family val="2"/>
      <scheme val="minor"/>
    </font>
    <font>
      <sz val="9"/>
      <color rgb="FF0A3069"/>
      <name val="Consolas"/>
      <family val="3"/>
    </font>
    <font>
      <sz val="6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33" borderId="0" xfId="0" applyFont="1" applyFill="1" applyAlignment="1">
      <alignment vertical="top" wrapText="1"/>
    </xf>
    <xf numFmtId="0" fontId="18" fillId="33" borderId="0" xfId="0" applyFont="1" applyFill="1" applyAlignment="1">
      <alignment vertical="top"/>
    </xf>
    <xf numFmtId="0" fontId="0" fillId="0" borderId="0" xfId="0" applyAlignment="1">
      <alignment wrapText="1"/>
    </xf>
    <xf numFmtId="0" fontId="18" fillId="34" borderId="0" xfId="0" applyFont="1" applyFill="1" applyAlignment="1">
      <alignment vertical="top"/>
    </xf>
    <xf numFmtId="0" fontId="18" fillId="34" borderId="0" xfId="0" applyFont="1" applyFill="1" applyAlignment="1">
      <alignment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34" borderId="0" xfId="0" applyFill="1"/>
    <xf numFmtId="0" fontId="19" fillId="34" borderId="0" xfId="0" applyFont="1" applyFill="1" applyAlignment="1">
      <alignment wrapText="1"/>
    </xf>
    <xf numFmtId="0" fontId="0" fillId="34" borderId="0" xfId="0" applyFill="1" applyAlignment="1">
      <alignment horizontal="center" wrapText="1"/>
    </xf>
    <xf numFmtId="0" fontId="0" fillId="34" borderId="0" xfId="0" quotePrefix="1" applyFill="1" applyAlignment="1">
      <alignment wrapText="1"/>
    </xf>
    <xf numFmtId="0" fontId="0" fillId="34" borderId="0" xfId="0" applyFill="1" applyAlignment="1">
      <alignment wrapText="1"/>
    </xf>
    <xf numFmtId="0" fontId="0" fillId="34" borderId="0" xfId="0" applyFill="1" applyAlignment="1"/>
    <xf numFmtId="0" fontId="0" fillId="0" borderId="0" xfId="0" applyAlignment="1"/>
    <xf numFmtId="0" fontId="0" fillId="36" borderId="0" xfId="0" applyFill="1"/>
    <xf numFmtId="0" fontId="0" fillId="35" borderId="0" xfId="0" applyFill="1" applyAlignment="1">
      <alignment wrapText="1"/>
    </xf>
    <xf numFmtId="0" fontId="19" fillId="35" borderId="0" xfId="0" applyFont="1" applyFill="1" applyAlignment="1">
      <alignment wrapText="1"/>
    </xf>
    <xf numFmtId="0" fontId="20" fillId="35" borderId="0" xfId="0" applyFont="1" applyFill="1" applyAlignment="1"/>
    <xf numFmtId="0" fontId="21" fillId="0" borderId="0" xfId="0" applyFont="1" applyFill="1" applyAlignment="1">
      <alignment wrapText="1"/>
    </xf>
    <xf numFmtId="0" fontId="0" fillId="38" borderId="0" xfId="0" applyFill="1"/>
    <xf numFmtId="0" fontId="0" fillId="0" borderId="0" xfId="0" quotePrefix="1"/>
    <xf numFmtId="0" fontId="0" fillId="37" borderId="0" xfId="0" applyFill="1"/>
    <xf numFmtId="0" fontId="18" fillId="33" borderId="0" xfId="0" applyFont="1" applyFill="1" applyAlignment="1">
      <alignment horizontal="center" vertical="top" wrapText="1"/>
    </xf>
    <xf numFmtId="0" fontId="21" fillId="37" borderId="0" xfId="0" applyFont="1" applyFill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>
      <selection activeCell="L18" sqref="L18"/>
    </sheetView>
  </sheetViews>
  <sheetFormatPr defaultRowHeight="14.4" x14ac:dyDescent="0.3"/>
  <cols>
    <col min="1" max="2" width="19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93</v>
      </c>
      <c r="O1" t="s">
        <v>111</v>
      </c>
    </row>
    <row r="2" spans="1:15" x14ac:dyDescent="0.3">
      <c r="A2">
        <v>151.0331755</v>
      </c>
      <c r="B2">
        <v>-33.922133559999999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370</v>
      </c>
      <c r="I2">
        <v>7</v>
      </c>
      <c r="J2">
        <v>9</v>
      </c>
      <c r="K2" t="s">
        <v>15</v>
      </c>
      <c r="L2">
        <v>1</v>
      </c>
    </row>
    <row r="3" spans="1:15" x14ac:dyDescent="0.3">
      <c r="A3">
        <v>151.03323140000001</v>
      </c>
      <c r="B3">
        <v>-33.92230473</v>
      </c>
      <c r="C3" t="s">
        <v>11</v>
      </c>
      <c r="D3" t="s">
        <v>12</v>
      </c>
      <c r="E3" t="s">
        <v>16</v>
      </c>
      <c r="F3" t="s">
        <v>17</v>
      </c>
      <c r="G3" t="s">
        <v>18</v>
      </c>
      <c r="H3">
        <v>110</v>
      </c>
      <c r="I3">
        <v>4</v>
      </c>
      <c r="J3">
        <v>5</v>
      </c>
      <c r="K3" t="s">
        <v>19</v>
      </c>
      <c r="L3">
        <v>2</v>
      </c>
    </row>
    <row r="4" spans="1:15" x14ac:dyDescent="0.3">
      <c r="A4">
        <v>151.03310930000001</v>
      </c>
      <c r="B4">
        <v>-33.922286769999999</v>
      </c>
      <c r="C4" t="s">
        <v>11</v>
      </c>
      <c r="D4" t="s">
        <v>12</v>
      </c>
      <c r="E4" t="s">
        <v>20</v>
      </c>
      <c r="F4" t="s">
        <v>21</v>
      </c>
      <c r="G4" t="s">
        <v>22</v>
      </c>
      <c r="H4">
        <v>220</v>
      </c>
      <c r="I4">
        <v>4</v>
      </c>
      <c r="J4">
        <v>5</v>
      </c>
      <c r="K4" t="s">
        <v>23</v>
      </c>
      <c r="L4">
        <v>3</v>
      </c>
    </row>
    <row r="5" spans="1:15" x14ac:dyDescent="0.3">
      <c r="A5">
        <v>151.03304170000001</v>
      </c>
      <c r="B5">
        <v>-33.92228042</v>
      </c>
      <c r="C5" t="s">
        <v>11</v>
      </c>
      <c r="D5" t="s">
        <v>12</v>
      </c>
      <c r="E5" t="s">
        <v>24</v>
      </c>
      <c r="F5" t="s">
        <v>25</v>
      </c>
      <c r="G5" t="s">
        <v>26</v>
      </c>
      <c r="H5">
        <v>310</v>
      </c>
      <c r="I5">
        <v>5</v>
      </c>
      <c r="J5">
        <v>11</v>
      </c>
      <c r="K5" t="s">
        <v>27</v>
      </c>
      <c r="L5">
        <v>4</v>
      </c>
    </row>
    <row r="6" spans="1:15" x14ac:dyDescent="0.3">
      <c r="A6">
        <v>151.03300010000001</v>
      </c>
      <c r="B6">
        <v>-33.922288389999999</v>
      </c>
      <c r="C6" t="s">
        <v>11</v>
      </c>
      <c r="D6" t="s">
        <v>12</v>
      </c>
      <c r="E6" t="s">
        <v>24</v>
      </c>
      <c r="F6" t="s">
        <v>25</v>
      </c>
      <c r="G6" t="s">
        <v>26</v>
      </c>
      <c r="H6">
        <v>420</v>
      </c>
      <c r="I6">
        <v>5</v>
      </c>
      <c r="J6">
        <v>11</v>
      </c>
      <c r="K6" t="s">
        <v>28</v>
      </c>
      <c r="L6">
        <v>5</v>
      </c>
    </row>
    <row r="7" spans="1:15" x14ac:dyDescent="0.3">
      <c r="A7">
        <v>151.0330788</v>
      </c>
      <c r="B7">
        <v>-33.922162239999999</v>
      </c>
      <c r="C7" t="s">
        <v>11</v>
      </c>
      <c r="D7" t="s">
        <v>12</v>
      </c>
      <c r="E7" t="s">
        <v>29</v>
      </c>
      <c r="F7" t="s">
        <v>30</v>
      </c>
      <c r="G7" t="s">
        <v>31</v>
      </c>
      <c r="H7">
        <v>400</v>
      </c>
      <c r="I7">
        <v>7</v>
      </c>
      <c r="J7">
        <v>18</v>
      </c>
      <c r="K7" t="s">
        <v>32</v>
      </c>
      <c r="L7">
        <v>6</v>
      </c>
    </row>
    <row r="8" spans="1:15" x14ac:dyDescent="0.3">
      <c r="A8">
        <v>151.0333219</v>
      </c>
      <c r="B8">
        <v>-33.92236827</v>
      </c>
      <c r="C8" t="s">
        <v>11</v>
      </c>
      <c r="D8" t="s">
        <v>12</v>
      </c>
      <c r="E8" t="s">
        <v>20</v>
      </c>
      <c r="F8" t="s">
        <v>21</v>
      </c>
      <c r="G8" t="s">
        <v>22</v>
      </c>
      <c r="H8">
        <v>180</v>
      </c>
      <c r="I8">
        <v>4</v>
      </c>
      <c r="J8">
        <v>9</v>
      </c>
      <c r="K8" t="s">
        <v>33</v>
      </c>
      <c r="L8">
        <v>7</v>
      </c>
    </row>
    <row r="9" spans="1:15" x14ac:dyDescent="0.3">
      <c r="A9">
        <v>151.03304399999999</v>
      </c>
      <c r="B9">
        <v>-33.922199370000001</v>
      </c>
      <c r="C9" t="s">
        <v>11</v>
      </c>
      <c r="D9" t="s">
        <v>12</v>
      </c>
      <c r="E9" t="s">
        <v>34</v>
      </c>
      <c r="F9" t="s">
        <v>35</v>
      </c>
      <c r="G9" t="s">
        <v>36</v>
      </c>
      <c r="H9">
        <v>1240</v>
      </c>
      <c r="I9">
        <v>12</v>
      </c>
      <c r="J9">
        <v>16</v>
      </c>
      <c r="K9" t="s">
        <v>37</v>
      </c>
      <c r="L9">
        <v>8</v>
      </c>
    </row>
    <row r="10" spans="1:15" x14ac:dyDescent="0.3">
      <c r="A10">
        <v>151.03335999999999</v>
      </c>
      <c r="B10">
        <v>-33.922283229999998</v>
      </c>
      <c r="C10" t="s">
        <v>11</v>
      </c>
      <c r="D10" t="s">
        <v>12</v>
      </c>
      <c r="E10" t="s">
        <v>38</v>
      </c>
      <c r="F10" t="s">
        <v>39</v>
      </c>
      <c r="G10" t="s">
        <v>40</v>
      </c>
      <c r="H10">
        <v>380</v>
      </c>
      <c r="I10">
        <v>8</v>
      </c>
      <c r="J10">
        <v>12</v>
      </c>
      <c r="K10" t="s">
        <v>41</v>
      </c>
      <c r="L10">
        <v>9</v>
      </c>
    </row>
    <row r="11" spans="1:15" x14ac:dyDescent="0.3">
      <c r="A11">
        <v>151.0332191</v>
      </c>
      <c r="B11">
        <v>-33.922370190000002</v>
      </c>
      <c r="C11" t="s">
        <v>11</v>
      </c>
      <c r="D11" t="s">
        <v>12</v>
      </c>
      <c r="E11" t="s">
        <v>42</v>
      </c>
      <c r="F11" t="s">
        <v>43</v>
      </c>
      <c r="G11" t="s">
        <v>44</v>
      </c>
      <c r="H11">
        <v>460</v>
      </c>
      <c r="I11">
        <v>7</v>
      </c>
      <c r="J11">
        <v>16</v>
      </c>
      <c r="K11" t="s">
        <v>45</v>
      </c>
      <c r="L11">
        <v>10</v>
      </c>
    </row>
    <row r="12" spans="1:15" x14ac:dyDescent="0.3">
      <c r="A12">
        <v>151.03299490000001</v>
      </c>
      <c r="B12">
        <v>-33.922307930000002</v>
      </c>
      <c r="C12" t="s">
        <v>11</v>
      </c>
      <c r="D12" t="s">
        <v>12</v>
      </c>
      <c r="E12" t="s">
        <v>24</v>
      </c>
      <c r="F12" t="s">
        <v>25</v>
      </c>
      <c r="G12" t="s">
        <v>26</v>
      </c>
      <c r="H12">
        <v>440</v>
      </c>
      <c r="I12">
        <v>6</v>
      </c>
      <c r="J12">
        <v>9</v>
      </c>
      <c r="K12" t="s">
        <v>46</v>
      </c>
      <c r="L12">
        <v>11</v>
      </c>
    </row>
    <row r="13" spans="1:15" x14ac:dyDescent="0.3">
      <c r="A13">
        <v>151.03306119999999</v>
      </c>
      <c r="B13">
        <v>-33.922107009999998</v>
      </c>
      <c r="C13" t="s">
        <v>11</v>
      </c>
      <c r="D13" t="s">
        <v>12</v>
      </c>
      <c r="E13" t="s">
        <v>47</v>
      </c>
      <c r="F13" t="s">
        <v>48</v>
      </c>
      <c r="G13" t="s">
        <v>31</v>
      </c>
      <c r="H13">
        <v>400</v>
      </c>
      <c r="I13">
        <v>6</v>
      </c>
      <c r="J13">
        <v>10</v>
      </c>
      <c r="K13" t="s">
        <v>49</v>
      </c>
      <c r="L13">
        <v>12</v>
      </c>
    </row>
    <row r="14" spans="1:15" x14ac:dyDescent="0.3">
      <c r="A14">
        <v>151.03329450000001</v>
      </c>
      <c r="B14">
        <v>-33.922213239999998</v>
      </c>
      <c r="C14" t="s">
        <v>11</v>
      </c>
      <c r="D14" t="s">
        <v>12</v>
      </c>
      <c r="E14" t="s">
        <v>50</v>
      </c>
      <c r="F14" t="s">
        <v>51</v>
      </c>
      <c r="G14" t="s">
        <v>31</v>
      </c>
      <c r="H14">
        <v>210</v>
      </c>
      <c r="I14">
        <v>4</v>
      </c>
      <c r="J14">
        <v>9</v>
      </c>
      <c r="K14" t="s">
        <v>52</v>
      </c>
      <c r="L14">
        <v>13</v>
      </c>
    </row>
    <row r="15" spans="1:15" x14ac:dyDescent="0.3">
      <c r="A15">
        <v>151.0332914</v>
      </c>
      <c r="B15">
        <v>-33.922278210000002</v>
      </c>
      <c r="C15" t="s">
        <v>11</v>
      </c>
      <c r="D15" t="s">
        <v>12</v>
      </c>
      <c r="E15" t="s">
        <v>53</v>
      </c>
      <c r="F15" t="s">
        <v>54</v>
      </c>
      <c r="G15" t="s">
        <v>55</v>
      </c>
      <c r="H15">
        <v>210</v>
      </c>
      <c r="I15">
        <v>5</v>
      </c>
      <c r="J15">
        <v>8</v>
      </c>
      <c r="K15" t="s">
        <v>56</v>
      </c>
      <c r="L15">
        <v>14</v>
      </c>
    </row>
    <row r="16" spans="1:15" x14ac:dyDescent="0.3">
      <c r="A16">
        <v>151.033345</v>
      </c>
      <c r="B16">
        <v>-33.922386690000003</v>
      </c>
      <c r="C16" t="s">
        <v>11</v>
      </c>
      <c r="D16" t="s">
        <v>12</v>
      </c>
      <c r="E16" t="s">
        <v>42</v>
      </c>
      <c r="F16" t="s">
        <v>43</v>
      </c>
      <c r="G16" t="s">
        <v>44</v>
      </c>
      <c r="H16">
        <v>220</v>
      </c>
      <c r="I16">
        <v>4</v>
      </c>
      <c r="J16">
        <v>10</v>
      </c>
      <c r="K16" t="s">
        <v>57</v>
      </c>
      <c r="L16">
        <v>15</v>
      </c>
    </row>
    <row r="17" spans="1:12" x14ac:dyDescent="0.3">
      <c r="A17">
        <v>151.03312930000001</v>
      </c>
      <c r="B17">
        <v>-33.922361109999997</v>
      </c>
      <c r="C17" t="s">
        <v>11</v>
      </c>
      <c r="D17" t="s">
        <v>12</v>
      </c>
      <c r="E17" t="s">
        <v>16</v>
      </c>
      <c r="F17" t="s">
        <v>17</v>
      </c>
      <c r="G17" t="s">
        <v>18</v>
      </c>
      <c r="H17">
        <v>80</v>
      </c>
      <c r="I17">
        <v>5</v>
      </c>
      <c r="J17">
        <v>5</v>
      </c>
      <c r="K17" t="s">
        <v>58</v>
      </c>
      <c r="L17">
        <v>16</v>
      </c>
    </row>
    <row r="18" spans="1:12" x14ac:dyDescent="0.3">
      <c r="A18">
        <v>151.03313370000001</v>
      </c>
      <c r="B18">
        <v>-33.922229059999999</v>
      </c>
      <c r="C18" t="s">
        <v>11</v>
      </c>
      <c r="D18" t="s">
        <v>12</v>
      </c>
      <c r="E18" t="s">
        <v>59</v>
      </c>
      <c r="F18" t="s">
        <v>60</v>
      </c>
      <c r="G18" t="s">
        <v>31</v>
      </c>
      <c r="H18">
        <v>430</v>
      </c>
      <c r="I18">
        <v>8</v>
      </c>
      <c r="J18">
        <v>18</v>
      </c>
      <c r="K18" t="s">
        <v>61</v>
      </c>
      <c r="L18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E3781-09BF-41C8-BDDF-6020BCB65773}">
  <dimension ref="A2:A6"/>
  <sheetViews>
    <sheetView workbookViewId="0">
      <selection activeCell="A6" sqref="A6"/>
    </sheetView>
  </sheetViews>
  <sheetFormatPr defaultRowHeight="14.4" x14ac:dyDescent="0.3"/>
  <sheetData>
    <row r="2" spans="1:1" x14ac:dyDescent="0.3">
      <c r="A2" t="s">
        <v>62</v>
      </c>
    </row>
    <row r="3" spans="1:1" x14ac:dyDescent="0.3">
      <c r="A3" t="s">
        <v>63</v>
      </c>
    </row>
    <row r="4" spans="1:1" x14ac:dyDescent="0.3">
      <c r="A4" t="s">
        <v>64</v>
      </c>
    </row>
    <row r="5" spans="1:1" x14ac:dyDescent="0.3">
      <c r="A5" t="s">
        <v>65</v>
      </c>
    </row>
    <row r="6" spans="1:1" x14ac:dyDescent="0.3">
      <c r="A6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>
      <selection activeCell="A8" sqref="A8"/>
    </sheetView>
  </sheetViews>
  <sheetFormatPr defaultRowHeight="14.4" x14ac:dyDescent="0.3"/>
  <cols>
    <col min="1" max="1" width="37.44140625" customWidth="1"/>
    <col min="2" max="2" width="31.88671875" customWidth="1"/>
    <col min="3" max="3" width="24.88671875" customWidth="1"/>
  </cols>
  <sheetData>
    <row r="1" spans="1:9" ht="37.5" customHeight="1" x14ac:dyDescent="0.3">
      <c r="A1" s="23" t="s">
        <v>67</v>
      </c>
      <c r="B1" s="23"/>
      <c r="C1" s="23"/>
      <c r="D1" s="23"/>
      <c r="E1" s="23"/>
      <c r="F1" s="23"/>
      <c r="G1" s="23"/>
      <c r="H1" s="23"/>
      <c r="I1" s="23"/>
    </row>
    <row r="6" spans="1:9" ht="15" customHeight="1" x14ac:dyDescent="0.3">
      <c r="A6" s="4" t="s">
        <v>68</v>
      </c>
      <c r="B6" s="5" t="s">
        <v>69</v>
      </c>
      <c r="C6" s="4" t="s">
        <v>70</v>
      </c>
      <c r="D6" s="1"/>
      <c r="E6" s="1"/>
      <c r="F6" s="1"/>
      <c r="G6" s="1"/>
      <c r="H6" s="1"/>
      <c r="I6" s="1"/>
    </row>
    <row r="7" spans="1:9" ht="15" customHeight="1" x14ac:dyDescent="0.3">
      <c r="A7" s="4" t="s">
        <v>71</v>
      </c>
      <c r="B7" s="4" t="s">
        <v>72</v>
      </c>
      <c r="C7" s="4" t="s">
        <v>73</v>
      </c>
      <c r="D7" s="2"/>
      <c r="E7" s="2"/>
      <c r="F7" s="2"/>
      <c r="G7" s="2"/>
      <c r="H7" s="2"/>
    </row>
  </sheetData>
  <mergeCells count="1">
    <mergeCell ref="A1:I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968D7-B85D-44AB-9B06-95494DCC33AF}">
  <dimension ref="A1:K38"/>
  <sheetViews>
    <sheetView topLeftCell="A21" workbookViewId="0">
      <selection activeCell="A39" sqref="A39"/>
    </sheetView>
  </sheetViews>
  <sheetFormatPr defaultRowHeight="14.4" x14ac:dyDescent="0.3"/>
  <sheetData>
    <row r="1" spans="1:11" ht="15" customHeight="1" x14ac:dyDescent="0.3">
      <c r="A1" s="16" t="s">
        <v>74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11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11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</row>
    <row r="8" spans="1:11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 x14ac:dyDescent="0.3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 x14ac:dyDescent="0.3">
      <c r="A19" s="8" t="s">
        <v>75</v>
      </c>
    </row>
    <row r="20" spans="1:11" ht="45" customHeight="1" x14ac:dyDescent="0.3">
      <c r="A20" s="16" t="s">
        <v>76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 x14ac:dyDescent="0.3">
      <c r="A21" s="13" t="s">
        <v>65</v>
      </c>
      <c r="B21" s="14"/>
      <c r="C21" s="14"/>
      <c r="D21" s="3"/>
      <c r="E21" s="3"/>
      <c r="F21" s="3"/>
      <c r="G21" s="3"/>
      <c r="H21" s="3"/>
      <c r="I21" s="3"/>
      <c r="J21" s="3"/>
    </row>
    <row r="22" spans="1:11" ht="15" customHeight="1" x14ac:dyDescent="0.3">
      <c r="A22" s="16" t="s">
        <v>77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 x14ac:dyDescent="0.3">
      <c r="A23" s="11" t="s">
        <v>78</v>
      </c>
      <c r="B23" s="3"/>
      <c r="C23" s="3"/>
      <c r="D23" s="3"/>
      <c r="E23" s="3"/>
      <c r="F23" s="3"/>
      <c r="G23" s="3"/>
      <c r="H23" s="3"/>
      <c r="I23" s="3"/>
      <c r="J23" s="3"/>
    </row>
    <row r="24" spans="1:11" ht="15" customHeight="1" x14ac:dyDescent="0.3">
      <c r="A24" s="16" t="s">
        <v>79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 ht="15" customHeight="1" x14ac:dyDescent="0.3">
      <c r="A25" s="10">
        <v>151</v>
      </c>
      <c r="B25" s="6"/>
      <c r="C25" s="6"/>
      <c r="D25" s="6"/>
      <c r="E25" s="6"/>
      <c r="F25" s="6"/>
      <c r="G25" s="6"/>
      <c r="H25" s="6"/>
      <c r="I25" s="6"/>
      <c r="J25" s="3"/>
    </row>
    <row r="26" spans="1:11" ht="15" customHeight="1" x14ac:dyDescent="0.3">
      <c r="A26" s="17" t="s">
        <v>80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1:11" ht="27.6" x14ac:dyDescent="0.3">
      <c r="A27" s="9" t="s">
        <v>81</v>
      </c>
      <c r="B27" s="3"/>
      <c r="C27" s="3"/>
      <c r="D27" s="3"/>
      <c r="E27" s="3"/>
      <c r="F27" s="3"/>
      <c r="G27" s="3"/>
      <c r="H27" s="3"/>
      <c r="I27" s="3"/>
      <c r="J27" s="3"/>
    </row>
    <row r="28" spans="1:11" x14ac:dyDescent="0.3">
      <c r="A28" s="18" t="s">
        <v>82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1" x14ac:dyDescent="0.3">
      <c r="A29" s="8" t="s">
        <v>83</v>
      </c>
    </row>
    <row r="30" spans="1:11" ht="15" customHeight="1" x14ac:dyDescent="0.3">
      <c r="A30" s="16" t="s">
        <v>84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 ht="15" customHeight="1" x14ac:dyDescent="0.3">
      <c r="A31" s="12" t="s">
        <v>85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 ht="15" customHeight="1" x14ac:dyDescent="0.3">
      <c r="A32" s="16" t="s">
        <v>86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 x14ac:dyDescent="0.3">
      <c r="A33" s="8" t="s">
        <v>87</v>
      </c>
    </row>
    <row r="34" spans="1:11" ht="15" customHeight="1" x14ac:dyDescent="0.3">
      <c r="A34" s="16" t="s">
        <v>88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 x14ac:dyDescent="0.3">
      <c r="A35" s="8" t="s">
        <v>89</v>
      </c>
    </row>
    <row r="36" spans="1:11" ht="15" customHeight="1" x14ac:dyDescent="0.3">
      <c r="A36" s="16" t="s">
        <v>90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 x14ac:dyDescent="0.3">
      <c r="A37" s="8" t="s">
        <v>91</v>
      </c>
    </row>
    <row r="38" spans="1:11" ht="196.5" customHeight="1" x14ac:dyDescent="0.3">
      <c r="A38" s="16" t="s">
        <v>92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08D61-10D9-48E5-87E1-DFFD397E381B}">
  <dimension ref="A1:P142"/>
  <sheetViews>
    <sheetView workbookViewId="0">
      <selection activeCell="B1" sqref="B1"/>
    </sheetView>
  </sheetViews>
  <sheetFormatPr defaultRowHeight="14.4" x14ac:dyDescent="0.3"/>
  <cols>
    <col min="1" max="1" width="23.33203125" customWidth="1"/>
    <col min="3" max="3" width="13.109375" customWidth="1"/>
  </cols>
  <sheetData>
    <row r="1" spans="1:16" x14ac:dyDescent="0.3">
      <c r="A1" t="s">
        <v>93</v>
      </c>
      <c r="B1" s="15">
        <v>1</v>
      </c>
      <c r="C1" s="22" t="str">
        <f>A1&amp;B1&amp;".html"</f>
        <v>Tree1.html</v>
      </c>
      <c r="D1" s="20" t="str" cm="1">
        <f t="array" aca="1" ref="D1" ca="1">INDIRECT("'Model list'!A"&amp;RANDBETWEEN(2,6))</f>
        <v>MainSphereTreeBlue.glb</v>
      </c>
      <c r="E1" s="20"/>
      <c r="F1" s="20"/>
      <c r="G1" s="8" t="s">
        <v>94</v>
      </c>
      <c r="H1" s="8"/>
      <c r="L1" s="8" t="s">
        <v>95</v>
      </c>
    </row>
    <row r="2" spans="1:1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6" ht="18.75" customHeight="1" x14ac:dyDescent="0.3">
      <c r="A3" cm="1">
        <f t="array" aca="1" ref="A3" ca="1">INDIRECT("'Gardens 1'!A"&amp;$B$1+1)</f>
        <v>151.0331755</v>
      </c>
      <c r="B3" cm="1">
        <f t="array" aca="1" ref="B3" ca="1">INDIRECT("'Gardens 1'!b"&amp;$B$1+1)</f>
        <v>-33.922133559999999</v>
      </c>
      <c r="C3" t="str" cm="1">
        <f t="array" aca="1" ref="C3" ca="1">INDIRECT("'Gardens 1'!c"&amp;$B$1+1)</f>
        <v>195 Chapel Road, Bankstown</v>
      </c>
      <c r="D3" t="str" cm="1">
        <f t="array" aca="1" ref="D3" ca="1">INDIRECT("'Gardens 1'!d"&amp;$B$1+1)</f>
        <v>Bankstown City Gardens</v>
      </c>
      <c r="E3" t="str" cm="1">
        <f t="array" aca="1" ref="E3" ca="1">INDIRECT("'Gardens 1'!e"&amp;$B$1+1)</f>
        <v>Other species (Native &amp; Evergreen)</v>
      </c>
      <c r="F3" t="str" cm="1">
        <f t="array" aca="1" ref="F3" ca="1">INDIRECT("'Gardens 1'!f"&amp;$B$1+1)</f>
        <v>Other species (Native &amp; Evergreen)</v>
      </c>
      <c r="G3" t="str" cm="1">
        <f t="array" aca="1" ref="G3" ca="1">INDIRECT("'Gardens 1'!g"&amp;$B$1+1)</f>
        <v>N/A</v>
      </c>
      <c r="H3" cm="1">
        <f t="array" aca="1" ref="H3" ca="1">INDIRECT("'Gardens 1'!h"&amp;$B$1+1)</f>
        <v>370</v>
      </c>
      <c r="I3" cm="1">
        <f t="array" aca="1" ref="I3" ca="1">INDIRECT("'Gardens 1'!i"&amp;$B$1+1)</f>
        <v>7</v>
      </c>
      <c r="J3" cm="1">
        <f t="array" aca="1" ref="J3" ca="1">INDIRECT("'Gardens 1'!j"&amp;$B$1+1)</f>
        <v>9</v>
      </c>
      <c r="K3" t="str" cm="1">
        <f t="array" aca="1" ref="K3" ca="1">INDIRECT("'Gardens 1'!k"&amp;$B$1+1)</f>
        <v>WVK-BNI-D1A-GU3</v>
      </c>
    </row>
    <row r="4" spans="1:16" ht="273" customHeight="1" x14ac:dyDescent="0.3">
      <c r="A4" s="24" t="str">
        <f ca="1">CONCATENATE("&lt;!-- "&amp;C1&amp;" --&gt;"&amp;CHAR(10)&amp;'AR Text'!A1,C1,'AR Text'!A20,D1,'AR Text'!A22,'Create AR Per Tree'!B3,'AR Text'!A24,'Create AR Per Tree'!A3,'AR Text'!A26,'Create AR Per Tree'!F3,'AR Text'!A28,'Create AR Per Tree'!E3,'AR Text'!A30,H3,'AR Text'!A32,C1,'AR Text'!A34,'Create AR Per Tree'!J3,'AR Text'!A36,'Create AR Per Tree'!I3,'AR Text'!A38)</f>
        <v>&lt;!-- Tree1.html --&gt;
&lt;!DOCTYPE html&gt;
&lt;html&gt;
&lt;head&gt;
    &lt;meta charset='utf-8'&gt;
    &lt;meta http-equiv='X-UA-Compatible' content='IE=edge'&gt;
    &lt;title&gt;Tree 1&lt;/title&gt;
    &lt;script src="https://aframe.io/releases/1.0.4/aframe.min.js"&gt;&lt;/script&gt;
    &lt;script src='https://raw.githack.com/AR-js-org/AR.js/master/aframe/build/aframe-ar-nft.js'&gt;&lt;/script&gt;
	&lt;script src="https://rawgit.com/blairmacintyre/aframe-look-at-billboard-component/master/dist/aframe-look-at-billboard-component.min.js"&gt;&lt;/script&gt;
&lt;/head&gt;
&lt;body style='margin: 10; overflow: hidden;'&gt;
	    &lt;div
      style="position: fixed; top:80%; width:100%; text-align: center; z-index: 1;"
    &gt;
		    &lt;img src="./media/back button.png" width="80" height="80" 
      &lt;button id="Back"&gt;
      &lt;/button&gt;
    &lt;/div&gt;
    &lt;a-scene
        cursor='rayOrigin: mouse; fuse: true; fuseTimeout: 0;'
        raycaster="objects: [clickhandler];"
        vr-mode-ui="enabled: false"
		embedded
		arjs='sourceType: webcam; debugUIEnabled: false;'&gt;
	    &lt;a-gltf-model 
	    id="Tree1.html"
		src="src: url(./media/MainSphereTreeBlue.glb)"
            scale="0.5 0.5 0.5"
			   animation="property: rotation; to: 0 360 0; loop: true; dur: 10000"
              gps-entity-place="latitude: -33.92213356; longitude: 151.0331755;"&gt;
	       &lt;a-text id="treetext1" value="This is a \nOther species (Native &amp; Evergreen)\n(Other species (Native &amp; Evergreen)) \n\nIt has a Trunk that is 370mm wide" align="center" color="white" visible="true" scale="3.5 3.5 3.5" position="0 -2.5 0" billboard&gt;&lt;/a-text&gt;
		    &lt;a-text id="treetext2" value="Tree1.html" align="center" color="blue" visible="true" scale="2 2 2" position="0 1.5 1" billboard&gt;&lt;/a-text&gt;
		    &lt;a-text id="treetext3" value="9m Tall" align="center" color="red" visible="true" scale="2 2 2" position="3 2.5 1.5" billboard&gt;&lt;/a-text&gt;
		    &lt;a-text id="treetext4" value="7m Wide" align="center" color="yellow" visible="true" scale="2 2 2" position="0 4.8 3.5" billboard&gt;&lt;/a-text&gt;
       &lt;/a-gltf-model&gt;
        &lt;a-camera look-controls-enabled='false' arjs-look-controls='smoothingFactor: 0.1' gps-camera="simulateLatitude: -33.922294032896694; simulateLongitude: 151.0331577904548;" rotation-reader&gt;
	&lt;/a-camera&gt;
&lt;/a-scene&gt;
&lt;script type="text/javascript"&gt;
     document.querySelector("#Back").addEventListener("click", function() {
       window.history.back();
      });
    &lt;/script&gt;
  &lt;/body&gt;
&lt;/body&gt;
&lt;/html&gt;</v>
      </c>
      <c r="B4" s="24"/>
      <c r="C4" s="24"/>
      <c r="D4" s="24"/>
      <c r="E4" s="24"/>
      <c r="F4" s="24"/>
      <c r="G4" s="24"/>
      <c r="H4" s="19"/>
      <c r="I4" s="19"/>
      <c r="J4" s="19"/>
      <c r="K4" s="19"/>
      <c r="L4" s="19"/>
      <c r="M4" s="19"/>
      <c r="N4" s="19"/>
      <c r="O4" s="19"/>
      <c r="P4" s="19"/>
    </row>
    <row r="5" spans="1:16" ht="15.75" customHeight="1" x14ac:dyDescent="0.3">
      <c r="A5" s="24"/>
      <c r="B5" s="24"/>
      <c r="C5" s="24"/>
      <c r="D5" s="24"/>
      <c r="E5" s="24"/>
      <c r="F5" s="24"/>
      <c r="G5" s="24"/>
      <c r="H5" s="19"/>
      <c r="I5" s="19"/>
      <c r="J5" s="19"/>
      <c r="K5" s="19"/>
      <c r="L5" s="19"/>
      <c r="M5" s="19"/>
      <c r="N5" s="19"/>
      <c r="O5" s="19"/>
      <c r="P5" s="19"/>
    </row>
    <row r="6" spans="1:16" ht="15.75" customHeight="1" x14ac:dyDescent="0.3">
      <c r="A6" s="24"/>
      <c r="B6" s="24"/>
      <c r="C6" s="24"/>
      <c r="D6" s="24"/>
      <c r="E6" s="24"/>
      <c r="F6" s="24"/>
      <c r="G6" s="24"/>
      <c r="H6" s="19"/>
      <c r="I6" s="19"/>
      <c r="J6" s="19"/>
      <c r="K6" s="19"/>
      <c r="L6" s="19"/>
      <c r="M6" s="19"/>
      <c r="N6" s="19"/>
      <c r="O6" s="19"/>
      <c r="P6" s="19"/>
    </row>
    <row r="7" spans="1:16" ht="15.75" customHeight="1" x14ac:dyDescent="0.3">
      <c r="A7" s="24"/>
      <c r="B7" s="24"/>
      <c r="C7" s="24"/>
      <c r="D7" s="24"/>
      <c r="E7" s="24"/>
      <c r="F7" s="24"/>
      <c r="G7" s="24"/>
      <c r="H7" s="19"/>
      <c r="I7" s="19"/>
      <c r="J7" s="19"/>
      <c r="K7" s="19"/>
      <c r="L7" s="19"/>
      <c r="M7" s="19"/>
      <c r="N7" s="19"/>
      <c r="O7" s="19"/>
      <c r="P7" s="19"/>
    </row>
    <row r="8" spans="1:16" ht="15.75" customHeight="1" x14ac:dyDescent="0.3">
      <c r="A8" s="24"/>
      <c r="B8" s="24"/>
      <c r="C8" s="24"/>
      <c r="D8" s="24"/>
      <c r="E8" s="24"/>
      <c r="F8" s="24"/>
      <c r="G8" s="24"/>
      <c r="H8" s="19"/>
      <c r="I8" s="19"/>
      <c r="J8" s="19"/>
      <c r="K8" s="19"/>
      <c r="L8" s="19"/>
      <c r="M8" s="19"/>
      <c r="N8" s="19"/>
      <c r="O8" s="19"/>
      <c r="P8" s="19"/>
    </row>
    <row r="9" spans="1:16" ht="15.75" customHeight="1" x14ac:dyDescent="0.3">
      <c r="A9" s="24"/>
      <c r="B9" s="24"/>
      <c r="C9" s="24"/>
      <c r="D9" s="24"/>
      <c r="E9" s="24"/>
      <c r="F9" s="24"/>
      <c r="G9" s="24"/>
      <c r="H9" s="19"/>
      <c r="I9" s="19"/>
      <c r="J9" s="19"/>
      <c r="K9" s="19"/>
      <c r="L9" s="19"/>
      <c r="M9" s="19"/>
      <c r="N9" s="19"/>
      <c r="O9" s="19"/>
      <c r="P9" s="19"/>
    </row>
    <row r="10" spans="1:16" ht="15.75" customHeight="1" x14ac:dyDescent="0.3">
      <c r="A10" s="24"/>
      <c r="B10" s="24"/>
      <c r="C10" s="24"/>
      <c r="D10" s="24"/>
      <c r="E10" s="24"/>
      <c r="F10" s="24"/>
      <c r="G10" s="24"/>
      <c r="H10" s="19"/>
      <c r="I10" s="19"/>
      <c r="J10" s="19"/>
      <c r="K10" s="19"/>
      <c r="L10" s="19"/>
      <c r="M10" s="19"/>
      <c r="N10" s="19"/>
      <c r="O10" s="19"/>
      <c r="P10" s="19"/>
    </row>
    <row r="11" spans="1:16" ht="15.75" customHeight="1" x14ac:dyDescent="0.3">
      <c r="A11" s="24"/>
      <c r="B11" s="24"/>
      <c r="C11" s="24"/>
      <c r="D11" s="24"/>
      <c r="E11" s="24"/>
      <c r="F11" s="24"/>
      <c r="G11" s="24"/>
      <c r="H11" s="19"/>
      <c r="I11" s="19"/>
      <c r="J11" s="19"/>
      <c r="K11" s="19"/>
      <c r="L11" s="19"/>
      <c r="M11" s="19"/>
      <c r="N11" s="19"/>
      <c r="O11" s="19"/>
      <c r="P11" s="19"/>
    </row>
    <row r="12" spans="1:16" ht="15.75" customHeight="1" x14ac:dyDescent="0.3">
      <c r="A12" s="24"/>
      <c r="B12" s="24"/>
      <c r="C12" s="24"/>
      <c r="D12" s="24"/>
      <c r="E12" s="24"/>
      <c r="F12" s="24"/>
      <c r="G12" s="24"/>
      <c r="H12" s="19"/>
      <c r="I12" s="19"/>
      <c r="J12" s="19"/>
      <c r="K12" s="19"/>
      <c r="L12" s="19"/>
      <c r="M12" s="19"/>
      <c r="N12" s="19"/>
      <c r="O12" s="19"/>
      <c r="P12" s="19"/>
    </row>
    <row r="13" spans="1:16" ht="15.75" customHeight="1" x14ac:dyDescent="0.3">
      <c r="A13" s="24"/>
      <c r="B13" s="24"/>
      <c r="C13" s="24"/>
      <c r="D13" s="24"/>
      <c r="E13" s="24"/>
      <c r="F13" s="24"/>
      <c r="G13" s="24"/>
      <c r="H13" s="19"/>
      <c r="I13" s="19"/>
      <c r="J13" s="19"/>
      <c r="K13" s="19"/>
      <c r="L13" s="19"/>
      <c r="M13" s="19"/>
      <c r="N13" s="19"/>
      <c r="O13" s="19"/>
      <c r="P13" s="19"/>
    </row>
    <row r="14" spans="1:16" ht="15.75" customHeight="1" x14ac:dyDescent="0.3">
      <c r="A14" s="24"/>
      <c r="B14" s="24"/>
      <c r="C14" s="24"/>
      <c r="D14" s="24"/>
      <c r="E14" s="24"/>
      <c r="F14" s="24"/>
      <c r="G14" s="24"/>
      <c r="H14" s="19"/>
      <c r="I14" s="19"/>
      <c r="J14" s="19"/>
      <c r="K14" s="19"/>
      <c r="L14" s="19"/>
      <c r="M14" s="19"/>
      <c r="N14" s="19"/>
      <c r="O14" s="19"/>
      <c r="P14" s="19"/>
    </row>
    <row r="15" spans="1:16" ht="15.75" customHeight="1" x14ac:dyDescent="0.3">
      <c r="A15" s="24"/>
      <c r="B15" s="24"/>
      <c r="C15" s="24"/>
      <c r="D15" s="24"/>
      <c r="E15" s="24"/>
      <c r="F15" s="24"/>
      <c r="G15" s="24"/>
      <c r="H15" s="19"/>
      <c r="I15" s="19"/>
      <c r="J15" s="19"/>
      <c r="K15" s="19"/>
      <c r="L15" s="19"/>
      <c r="M15" s="19"/>
      <c r="N15" s="19"/>
      <c r="O15" s="19"/>
      <c r="P15" s="19"/>
    </row>
    <row r="16" spans="1:16" ht="15.75" customHeight="1" x14ac:dyDescent="0.3">
      <c r="A16" s="24"/>
      <c r="B16" s="24"/>
      <c r="C16" s="24"/>
      <c r="D16" s="24"/>
      <c r="E16" s="24"/>
      <c r="F16" s="24"/>
      <c r="G16" s="24"/>
      <c r="H16" s="19"/>
      <c r="I16" s="19"/>
      <c r="J16" s="19"/>
      <c r="K16" s="19"/>
      <c r="L16" s="19"/>
      <c r="M16" s="19"/>
      <c r="N16" s="19"/>
      <c r="O16" s="19"/>
      <c r="P16" s="19"/>
    </row>
    <row r="17" spans="1:16" ht="15.75" customHeight="1" x14ac:dyDescent="0.3">
      <c r="A17" s="24"/>
      <c r="B17" s="24"/>
      <c r="C17" s="24"/>
      <c r="D17" s="24"/>
      <c r="E17" s="24"/>
      <c r="F17" s="24"/>
      <c r="G17" s="24"/>
      <c r="H17" s="19"/>
      <c r="I17" s="19"/>
      <c r="J17" s="19"/>
      <c r="K17" s="19"/>
      <c r="L17" s="19"/>
      <c r="M17" s="19"/>
      <c r="N17" s="19"/>
      <c r="O17" s="19"/>
      <c r="P17" s="19"/>
    </row>
    <row r="18" spans="1:16" ht="15.75" customHeight="1" x14ac:dyDescent="0.3">
      <c r="A18" s="24"/>
      <c r="B18" s="24"/>
      <c r="C18" s="24"/>
      <c r="D18" s="24"/>
      <c r="E18" s="24"/>
      <c r="F18" s="24"/>
      <c r="G18" s="24"/>
      <c r="H18" s="19"/>
      <c r="I18" s="19"/>
      <c r="J18" s="19"/>
      <c r="K18" s="19"/>
      <c r="L18" s="19"/>
      <c r="M18" s="19"/>
      <c r="N18" s="19"/>
      <c r="O18" s="19"/>
      <c r="P18" s="19"/>
    </row>
    <row r="19" spans="1:16" ht="15.75" customHeight="1" x14ac:dyDescent="0.3">
      <c r="A19" s="24"/>
      <c r="B19" s="24"/>
      <c r="C19" s="24"/>
      <c r="D19" s="24"/>
      <c r="E19" s="24"/>
      <c r="F19" s="24"/>
      <c r="G19" s="24"/>
      <c r="H19" s="19"/>
      <c r="I19" s="19"/>
      <c r="J19" s="19"/>
      <c r="K19" s="19"/>
      <c r="L19" s="19"/>
      <c r="M19" s="19"/>
      <c r="N19" s="19"/>
      <c r="O19" s="19"/>
      <c r="P19" s="19"/>
    </row>
    <row r="20" spans="1:16" ht="15.75" customHeight="1" x14ac:dyDescent="0.3">
      <c r="A20" s="24"/>
      <c r="B20" s="24"/>
      <c r="C20" s="24"/>
      <c r="D20" s="24"/>
      <c r="E20" s="24"/>
      <c r="F20" s="24"/>
      <c r="G20" s="24"/>
      <c r="H20" s="19"/>
      <c r="I20" s="19"/>
      <c r="J20" s="19"/>
      <c r="K20" s="19"/>
      <c r="L20" s="19"/>
      <c r="M20" s="19"/>
      <c r="N20" s="19"/>
      <c r="O20" s="19"/>
      <c r="P20" s="19"/>
    </row>
    <row r="21" spans="1:16" ht="15.75" customHeight="1" x14ac:dyDescent="0.3">
      <c r="A21" s="24"/>
      <c r="B21" s="24"/>
      <c r="C21" s="24"/>
      <c r="D21" s="24"/>
      <c r="E21" s="24"/>
      <c r="F21" s="24"/>
      <c r="G21" s="24"/>
      <c r="H21" s="19"/>
      <c r="I21" s="19"/>
      <c r="J21" s="19"/>
      <c r="K21" s="19"/>
      <c r="L21" s="19"/>
      <c r="M21" s="19"/>
      <c r="N21" s="19"/>
      <c r="O21" s="19"/>
      <c r="P21" s="19"/>
    </row>
    <row r="22" spans="1:16" ht="15.75" customHeight="1" x14ac:dyDescent="0.3">
      <c r="A22" s="24"/>
      <c r="B22" s="24"/>
      <c r="C22" s="24"/>
      <c r="D22" s="24"/>
      <c r="E22" s="24"/>
      <c r="F22" s="24"/>
      <c r="G22" s="24"/>
      <c r="H22" s="19"/>
      <c r="I22" s="19"/>
      <c r="J22" s="19"/>
      <c r="K22" s="19"/>
      <c r="L22" s="19"/>
      <c r="M22" s="19"/>
      <c r="N22" s="19"/>
      <c r="O22" s="19"/>
      <c r="P22" s="19"/>
    </row>
    <row r="23" spans="1:16" ht="15.75" customHeight="1" x14ac:dyDescent="0.3">
      <c r="A23" s="24"/>
      <c r="B23" s="24"/>
      <c r="C23" s="24"/>
      <c r="D23" s="24"/>
      <c r="E23" s="24"/>
      <c r="F23" s="24"/>
      <c r="G23" s="24"/>
      <c r="H23" s="19"/>
      <c r="I23" s="19"/>
      <c r="J23" s="19"/>
      <c r="K23" s="19"/>
      <c r="L23" s="19"/>
      <c r="M23" s="19"/>
      <c r="N23" s="19"/>
      <c r="O23" s="19"/>
      <c r="P23" s="19"/>
    </row>
    <row r="24" spans="1:16" ht="15.75" customHeight="1" x14ac:dyDescent="0.3">
      <c r="A24" s="6"/>
    </row>
    <row r="25" spans="1:16" x14ac:dyDescent="0.3">
      <c r="A25" s="6"/>
    </row>
    <row r="26" spans="1:16" x14ac:dyDescent="0.3">
      <c r="A26" s="6"/>
    </row>
    <row r="27" spans="1:16" x14ac:dyDescent="0.3">
      <c r="A27" s="6"/>
    </row>
    <row r="28" spans="1:16" x14ac:dyDescent="0.3">
      <c r="A28" s="6"/>
    </row>
    <row r="29" spans="1:16" x14ac:dyDescent="0.3">
      <c r="A29" s="6"/>
    </row>
    <row r="30" spans="1:16" x14ac:dyDescent="0.3">
      <c r="A30" s="6"/>
    </row>
    <row r="31" spans="1:16" x14ac:dyDescent="0.3">
      <c r="A31" s="6"/>
    </row>
    <row r="32" spans="1:16" x14ac:dyDescent="0.3">
      <c r="A32" s="6"/>
    </row>
    <row r="33" spans="1:1" x14ac:dyDescent="0.3">
      <c r="A33" s="6"/>
    </row>
    <row r="34" spans="1:1" x14ac:dyDescent="0.3">
      <c r="A34" s="6"/>
    </row>
    <row r="35" spans="1:1" x14ac:dyDescent="0.3">
      <c r="A35" s="6"/>
    </row>
    <row r="36" spans="1:1" x14ac:dyDescent="0.3">
      <c r="A36" s="6"/>
    </row>
    <row r="37" spans="1:1" x14ac:dyDescent="0.3">
      <c r="A37" s="6"/>
    </row>
    <row r="38" spans="1:1" x14ac:dyDescent="0.3">
      <c r="A38" s="6"/>
    </row>
    <row r="39" spans="1:1" x14ac:dyDescent="0.3">
      <c r="A39" s="6"/>
    </row>
    <row r="40" spans="1:1" x14ac:dyDescent="0.3">
      <c r="A40" s="6"/>
    </row>
    <row r="41" spans="1:1" x14ac:dyDescent="0.3">
      <c r="A41" s="6"/>
    </row>
    <row r="42" spans="1:1" x14ac:dyDescent="0.3">
      <c r="A42" s="6"/>
    </row>
    <row r="43" spans="1:1" x14ac:dyDescent="0.3">
      <c r="A43" s="6"/>
    </row>
    <row r="44" spans="1:1" x14ac:dyDescent="0.3">
      <c r="A44" s="6"/>
    </row>
    <row r="45" spans="1:1" x14ac:dyDescent="0.3">
      <c r="A45" s="6"/>
    </row>
    <row r="46" spans="1:1" x14ac:dyDescent="0.3">
      <c r="A46" s="6"/>
    </row>
    <row r="47" spans="1:1" x14ac:dyDescent="0.3">
      <c r="A47" s="6"/>
    </row>
    <row r="48" spans="1:1" x14ac:dyDescent="0.3">
      <c r="A48" s="6"/>
    </row>
    <row r="49" spans="1:1" x14ac:dyDescent="0.3">
      <c r="A49" s="6"/>
    </row>
    <row r="50" spans="1:1" x14ac:dyDescent="0.3">
      <c r="A50" s="6"/>
    </row>
    <row r="51" spans="1:1" x14ac:dyDescent="0.3">
      <c r="A51" s="6"/>
    </row>
    <row r="52" spans="1:1" x14ac:dyDescent="0.3">
      <c r="A52" s="6"/>
    </row>
    <row r="53" spans="1:1" x14ac:dyDescent="0.3">
      <c r="A53" s="6"/>
    </row>
    <row r="54" spans="1:1" x14ac:dyDescent="0.3">
      <c r="A54" s="6"/>
    </row>
    <row r="55" spans="1:1" x14ac:dyDescent="0.3">
      <c r="A55" s="6"/>
    </row>
    <row r="56" spans="1:1" x14ac:dyDescent="0.3">
      <c r="A56" s="6"/>
    </row>
    <row r="57" spans="1:1" x14ac:dyDescent="0.3">
      <c r="A57" s="6"/>
    </row>
    <row r="58" spans="1:1" x14ac:dyDescent="0.3">
      <c r="A58" s="6"/>
    </row>
    <row r="59" spans="1:1" x14ac:dyDescent="0.3">
      <c r="A59" s="6"/>
    </row>
    <row r="60" spans="1:1" x14ac:dyDescent="0.3">
      <c r="A60" s="6"/>
    </row>
    <row r="61" spans="1:1" x14ac:dyDescent="0.3">
      <c r="A61" s="6"/>
    </row>
    <row r="62" spans="1:1" x14ac:dyDescent="0.3">
      <c r="A62" s="6"/>
    </row>
    <row r="63" spans="1:1" x14ac:dyDescent="0.3">
      <c r="A63" s="6"/>
    </row>
    <row r="64" spans="1:1" x14ac:dyDescent="0.3">
      <c r="A64" s="6"/>
    </row>
    <row r="65" spans="1:1" x14ac:dyDescent="0.3">
      <c r="A65" s="6"/>
    </row>
    <row r="66" spans="1:1" x14ac:dyDescent="0.3">
      <c r="A66" s="6"/>
    </row>
    <row r="67" spans="1:1" x14ac:dyDescent="0.3">
      <c r="A67" s="6"/>
    </row>
    <row r="68" spans="1:1" x14ac:dyDescent="0.3">
      <c r="A68" s="6"/>
    </row>
    <row r="69" spans="1:1" x14ac:dyDescent="0.3">
      <c r="A69" s="6"/>
    </row>
    <row r="70" spans="1:1" x14ac:dyDescent="0.3">
      <c r="A70" s="6"/>
    </row>
    <row r="71" spans="1:1" x14ac:dyDescent="0.3">
      <c r="A71" s="6"/>
    </row>
    <row r="72" spans="1:1" x14ac:dyDescent="0.3">
      <c r="A72" s="6"/>
    </row>
    <row r="73" spans="1:1" x14ac:dyDescent="0.3">
      <c r="A73" s="6"/>
    </row>
    <row r="74" spans="1:1" x14ac:dyDescent="0.3">
      <c r="A74" s="6"/>
    </row>
    <row r="75" spans="1:1" x14ac:dyDescent="0.3">
      <c r="A75" s="6"/>
    </row>
    <row r="76" spans="1:1" x14ac:dyDescent="0.3">
      <c r="A76" s="6"/>
    </row>
    <row r="77" spans="1:1" x14ac:dyDescent="0.3">
      <c r="A77" s="7"/>
    </row>
    <row r="78" spans="1:1" x14ac:dyDescent="0.3">
      <c r="A78" s="6"/>
    </row>
    <row r="79" spans="1:1" x14ac:dyDescent="0.3">
      <c r="A79" s="6"/>
    </row>
    <row r="80" spans="1:1" x14ac:dyDescent="0.3">
      <c r="A80" s="6"/>
    </row>
    <row r="81" spans="1:1" x14ac:dyDescent="0.3">
      <c r="A81" s="6"/>
    </row>
    <row r="82" spans="1:1" x14ac:dyDescent="0.3">
      <c r="A82" s="6"/>
    </row>
    <row r="83" spans="1:1" x14ac:dyDescent="0.3">
      <c r="A83" s="6"/>
    </row>
    <row r="84" spans="1:1" x14ac:dyDescent="0.3">
      <c r="A84" s="6"/>
    </row>
    <row r="85" spans="1:1" x14ac:dyDescent="0.3">
      <c r="A85" s="6"/>
    </row>
    <row r="86" spans="1:1" x14ac:dyDescent="0.3">
      <c r="A86" s="6"/>
    </row>
    <row r="87" spans="1:1" x14ac:dyDescent="0.3">
      <c r="A87" s="6"/>
    </row>
    <row r="88" spans="1:1" x14ac:dyDescent="0.3">
      <c r="A88" s="6"/>
    </row>
    <row r="89" spans="1:1" x14ac:dyDescent="0.3">
      <c r="A89" s="6"/>
    </row>
    <row r="90" spans="1:1" x14ac:dyDescent="0.3">
      <c r="A90" s="6"/>
    </row>
    <row r="91" spans="1:1" x14ac:dyDescent="0.3">
      <c r="A91" s="6"/>
    </row>
    <row r="92" spans="1:1" x14ac:dyDescent="0.3">
      <c r="A92" s="6"/>
    </row>
    <row r="93" spans="1:1" x14ac:dyDescent="0.3">
      <c r="A93" s="6"/>
    </row>
    <row r="94" spans="1:1" x14ac:dyDescent="0.3">
      <c r="A94" s="6"/>
    </row>
    <row r="95" spans="1:1" x14ac:dyDescent="0.3">
      <c r="A95" s="6"/>
    </row>
    <row r="96" spans="1:1" x14ac:dyDescent="0.3">
      <c r="A96" s="6"/>
    </row>
    <row r="97" spans="1:1" x14ac:dyDescent="0.3">
      <c r="A97" s="6"/>
    </row>
    <row r="98" spans="1:1" x14ac:dyDescent="0.3">
      <c r="A98" s="6"/>
    </row>
    <row r="99" spans="1:1" x14ac:dyDescent="0.3">
      <c r="A99" s="6"/>
    </row>
    <row r="100" spans="1:1" x14ac:dyDescent="0.3">
      <c r="A100" s="6"/>
    </row>
    <row r="101" spans="1:1" x14ac:dyDescent="0.3">
      <c r="A101" s="6"/>
    </row>
    <row r="102" spans="1:1" x14ac:dyDescent="0.3">
      <c r="A102" s="6"/>
    </row>
    <row r="103" spans="1:1" x14ac:dyDescent="0.3">
      <c r="A103" s="6"/>
    </row>
    <row r="104" spans="1:1" x14ac:dyDescent="0.3">
      <c r="A104" s="6"/>
    </row>
    <row r="105" spans="1:1" x14ac:dyDescent="0.3">
      <c r="A105" s="6"/>
    </row>
    <row r="106" spans="1:1" x14ac:dyDescent="0.3">
      <c r="A106" s="6"/>
    </row>
    <row r="107" spans="1:1" x14ac:dyDescent="0.3">
      <c r="A107" s="6"/>
    </row>
    <row r="108" spans="1:1" x14ac:dyDescent="0.3">
      <c r="A108" s="6"/>
    </row>
    <row r="109" spans="1:1" x14ac:dyDescent="0.3">
      <c r="A109" s="6"/>
    </row>
    <row r="110" spans="1:1" x14ac:dyDescent="0.3">
      <c r="A110" s="6"/>
    </row>
    <row r="111" spans="1:1" x14ac:dyDescent="0.3">
      <c r="A111" s="6"/>
    </row>
    <row r="112" spans="1:1" x14ac:dyDescent="0.3">
      <c r="A112" s="6"/>
    </row>
    <row r="113" spans="1:1" x14ac:dyDescent="0.3">
      <c r="A113" s="6"/>
    </row>
    <row r="114" spans="1:1" x14ac:dyDescent="0.3">
      <c r="A114" s="6"/>
    </row>
    <row r="115" spans="1:1" x14ac:dyDescent="0.3">
      <c r="A115" s="6"/>
    </row>
    <row r="116" spans="1:1" x14ac:dyDescent="0.3">
      <c r="A116" s="6"/>
    </row>
    <row r="117" spans="1:1" x14ac:dyDescent="0.3">
      <c r="A117" s="6"/>
    </row>
    <row r="118" spans="1:1" x14ac:dyDescent="0.3">
      <c r="A118" s="6"/>
    </row>
    <row r="119" spans="1:1" x14ac:dyDescent="0.3">
      <c r="A119" s="6"/>
    </row>
    <row r="120" spans="1:1" x14ac:dyDescent="0.3">
      <c r="A120" s="6"/>
    </row>
    <row r="121" spans="1:1" x14ac:dyDescent="0.3">
      <c r="A121" s="6"/>
    </row>
    <row r="122" spans="1:1" x14ac:dyDescent="0.3">
      <c r="A122" s="6"/>
    </row>
    <row r="123" spans="1:1" x14ac:dyDescent="0.3">
      <c r="A123" s="6"/>
    </row>
    <row r="124" spans="1:1" x14ac:dyDescent="0.3">
      <c r="A124" s="6"/>
    </row>
    <row r="125" spans="1:1" x14ac:dyDescent="0.3">
      <c r="A125" s="6"/>
    </row>
    <row r="126" spans="1:1" x14ac:dyDescent="0.3">
      <c r="A126" s="6"/>
    </row>
    <row r="127" spans="1:1" x14ac:dyDescent="0.3">
      <c r="A127" s="6"/>
    </row>
    <row r="128" spans="1:1" x14ac:dyDescent="0.3">
      <c r="A128" s="6"/>
    </row>
    <row r="129" spans="1:1" x14ac:dyDescent="0.3">
      <c r="A129" s="6"/>
    </row>
    <row r="130" spans="1:1" x14ac:dyDescent="0.3">
      <c r="A130" s="6"/>
    </row>
    <row r="131" spans="1:1" x14ac:dyDescent="0.3">
      <c r="A131" s="6"/>
    </row>
    <row r="132" spans="1:1" x14ac:dyDescent="0.3">
      <c r="A132" s="6"/>
    </row>
    <row r="133" spans="1:1" x14ac:dyDescent="0.3">
      <c r="A133" s="6"/>
    </row>
    <row r="134" spans="1:1" x14ac:dyDescent="0.3">
      <c r="A134" s="6"/>
    </row>
    <row r="135" spans="1:1" x14ac:dyDescent="0.3">
      <c r="A135" s="6"/>
    </row>
    <row r="136" spans="1:1" x14ac:dyDescent="0.3">
      <c r="A136" s="6"/>
    </row>
    <row r="137" spans="1:1" x14ac:dyDescent="0.3">
      <c r="A137" s="6"/>
    </row>
    <row r="138" spans="1:1" x14ac:dyDescent="0.3">
      <c r="A138" s="6"/>
    </row>
    <row r="139" spans="1:1" x14ac:dyDescent="0.3">
      <c r="A139" s="6"/>
    </row>
    <row r="140" spans="1:1" x14ac:dyDescent="0.3">
      <c r="A140" s="6"/>
    </row>
    <row r="141" spans="1:1" x14ac:dyDescent="0.3">
      <c r="A141" s="6"/>
    </row>
    <row r="142" spans="1:1" x14ac:dyDescent="0.3">
      <c r="A142" s="6"/>
    </row>
  </sheetData>
  <mergeCells count="1">
    <mergeCell ref="A4:G2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F5B827-55A7-4FB9-B5E4-B0A821347DB0}">
          <x14:formula1>
            <xm:f>'Add markers to map'!$A$1:$A$17</xm:f>
          </x14:formula1>
          <xm:sqref>B1:B2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topLeftCell="A13" workbookViewId="0">
      <selection activeCell="B18" sqref="B18"/>
    </sheetView>
  </sheetViews>
  <sheetFormatPr defaultRowHeight="14.4" x14ac:dyDescent="0.3"/>
  <cols>
    <col min="2" max="2" width="81.33203125" customWidth="1"/>
  </cols>
  <sheetData>
    <row r="1" spans="1:4" ht="28.8" x14ac:dyDescent="0.3">
      <c r="A1">
        <f>ROW('Gardens 1'!A2)-1</f>
        <v>1</v>
      </c>
      <c r="B1" s="3" t="str">
        <f>'Leaflet text'!$A$6&amp;'Gardens 1'!$B2&amp;'Leaflet text'!$B$6&amp;'Gardens 1'!$A2&amp;'Leaflet text'!$C$6&amp;"
"&amp;'Leaflet text'!$A$7&amp;$A1&amp;'Leaflet text'!$B$7&amp;$A1&amp;'Leaflet text'!$C$7</f>
        <v xml:space="preserve">L.marker([-33.92213356,151.0331755], {icon: greenIcon}).addTo(map)
  .bindPopup('&lt;a href="./Tree1.html"&gt;Tree 1&lt;/a&gt;'); </v>
      </c>
      <c r="D1" s="8" t="s">
        <v>95</v>
      </c>
    </row>
    <row r="2" spans="1:4" ht="28.8" x14ac:dyDescent="0.3">
      <c r="A2">
        <f>ROW('Gardens 1'!A3)-1</f>
        <v>2</v>
      </c>
      <c r="B2" s="3" t="str">
        <f>'Leaflet text'!$A$6&amp;'Gardens 1'!$B3&amp;'Leaflet text'!$B$6&amp;'Gardens 1'!$A3&amp;'Leaflet text'!$C$6&amp;"
"&amp;'Leaflet text'!$A$7&amp;$A2&amp;'Leaflet text'!$B$7&amp;$A2&amp;'Leaflet text'!$C$7</f>
        <v xml:space="preserve">L.marker([-33.92230473,151.0332314], {icon: greenIcon}).addTo(map)
  .bindPopup('&lt;a href="./Tree2.html"&gt;Tree 2&lt;/a&gt;'); </v>
      </c>
    </row>
    <row r="3" spans="1:4" ht="28.8" x14ac:dyDescent="0.3">
      <c r="A3">
        <f>ROW('Gardens 1'!A4)-1</f>
        <v>3</v>
      </c>
      <c r="B3" s="3" t="str">
        <f>'Leaflet text'!$A$6&amp;'Gardens 1'!$B4&amp;'Leaflet text'!$B$6&amp;'Gardens 1'!$A4&amp;'Leaflet text'!$C$6&amp;"
"&amp;'Leaflet text'!$A$7&amp;$A3&amp;'Leaflet text'!$B$7&amp;$A3&amp;'Leaflet text'!$C$7</f>
        <v xml:space="preserve">L.marker([-33.92228677,151.0331093], {icon: greenIcon}).addTo(map)
  .bindPopup('&lt;a href="./Tree3.html"&gt;Tree 3&lt;/a&gt;'); </v>
      </c>
    </row>
    <row r="4" spans="1:4" ht="28.8" x14ac:dyDescent="0.3">
      <c r="A4">
        <f>ROW('Gardens 1'!A5)-1</f>
        <v>4</v>
      </c>
      <c r="B4" s="3" t="str">
        <f>'Leaflet text'!$A$6&amp;'Gardens 1'!$B5&amp;'Leaflet text'!$B$6&amp;'Gardens 1'!$A5&amp;'Leaflet text'!$C$6&amp;"
"&amp;'Leaflet text'!$A$7&amp;$A4&amp;'Leaflet text'!$B$7&amp;$A4&amp;'Leaflet text'!$C$7</f>
        <v xml:space="preserve">L.marker([-33.92228042,151.0330417], {icon: greenIcon}).addTo(map)
  .bindPopup('&lt;a href="./Tree4.html"&gt;Tree 4&lt;/a&gt;'); </v>
      </c>
    </row>
    <row r="5" spans="1:4" ht="28.8" x14ac:dyDescent="0.3">
      <c r="A5">
        <f>ROW('Gardens 1'!A6)-1</f>
        <v>5</v>
      </c>
      <c r="B5" s="3" t="str">
        <f>'Leaflet text'!$A$6&amp;'Gardens 1'!$B6&amp;'Leaflet text'!$B$6&amp;'Gardens 1'!$A6&amp;'Leaflet text'!$C$6&amp;"
"&amp;'Leaflet text'!$A$7&amp;$A5&amp;'Leaflet text'!$B$7&amp;$A5&amp;'Leaflet text'!$C$7</f>
        <v xml:space="preserve">L.marker([-33.92228839,151.0330001], {icon: greenIcon}).addTo(map)
  .bindPopup('&lt;a href="./Tree5.html"&gt;Tree 5&lt;/a&gt;'); </v>
      </c>
    </row>
    <row r="6" spans="1:4" ht="28.8" x14ac:dyDescent="0.3">
      <c r="A6">
        <f>ROW('Gardens 1'!A7)-1</f>
        <v>6</v>
      </c>
      <c r="B6" s="3" t="str">
        <f>'Leaflet text'!$A$6&amp;'Gardens 1'!$B7&amp;'Leaflet text'!$B$6&amp;'Gardens 1'!$A7&amp;'Leaflet text'!$C$6&amp;"
"&amp;'Leaflet text'!$A$7&amp;$A6&amp;'Leaflet text'!$B$7&amp;$A6&amp;'Leaflet text'!$C$7</f>
        <v xml:space="preserve">L.marker([-33.92216224,151.0330788], {icon: greenIcon}).addTo(map)
  .bindPopup('&lt;a href="./Tree6.html"&gt;Tree 6&lt;/a&gt;'); </v>
      </c>
    </row>
    <row r="7" spans="1:4" ht="28.8" x14ac:dyDescent="0.3">
      <c r="A7">
        <f>ROW('Gardens 1'!A8)-1</f>
        <v>7</v>
      </c>
      <c r="B7" s="3" t="str">
        <f>'Leaflet text'!$A$6&amp;'Gardens 1'!$B8&amp;'Leaflet text'!$B$6&amp;'Gardens 1'!$A8&amp;'Leaflet text'!$C$6&amp;"
"&amp;'Leaflet text'!$A$7&amp;$A7&amp;'Leaflet text'!$B$7&amp;$A7&amp;'Leaflet text'!$C$7</f>
        <v xml:space="preserve">L.marker([-33.92236827,151.0333219], {icon: greenIcon}).addTo(map)
  .bindPopup('&lt;a href="./Tree7.html"&gt;Tree 7&lt;/a&gt;'); </v>
      </c>
    </row>
    <row r="8" spans="1:4" ht="28.8" x14ac:dyDescent="0.3">
      <c r="A8">
        <f>ROW('Gardens 1'!A9)-1</f>
        <v>8</v>
      </c>
      <c r="B8" s="3" t="str">
        <f>'Leaflet text'!$A$6&amp;'Gardens 1'!$B9&amp;'Leaflet text'!$B$6&amp;'Gardens 1'!$A9&amp;'Leaflet text'!$C$6&amp;"
"&amp;'Leaflet text'!$A$7&amp;$A8&amp;'Leaflet text'!$B$7&amp;$A8&amp;'Leaflet text'!$C$7</f>
        <v xml:space="preserve">L.marker([-33.92219937,151.033044], {icon: greenIcon}).addTo(map)
  .bindPopup('&lt;a href="./Tree8.html"&gt;Tree 8&lt;/a&gt;'); </v>
      </c>
    </row>
    <row r="9" spans="1:4" ht="28.8" x14ac:dyDescent="0.3">
      <c r="A9">
        <f>ROW('Gardens 1'!A10)-1</f>
        <v>9</v>
      </c>
      <c r="B9" s="3" t="str">
        <f>'Leaflet text'!$A$6&amp;'Gardens 1'!$B10&amp;'Leaflet text'!$B$6&amp;'Gardens 1'!$A10&amp;'Leaflet text'!$C$6&amp;"
"&amp;'Leaflet text'!$A$7&amp;$A9&amp;'Leaflet text'!$B$7&amp;$A9&amp;'Leaflet text'!$C$7</f>
        <v xml:space="preserve">L.marker([-33.92228323,151.03336], {icon: greenIcon}).addTo(map)
  .bindPopup('&lt;a href="./Tree9.html"&gt;Tree 9&lt;/a&gt;'); </v>
      </c>
    </row>
    <row r="10" spans="1:4" ht="28.8" x14ac:dyDescent="0.3">
      <c r="A10">
        <f>ROW('Gardens 1'!A11)-1</f>
        <v>10</v>
      </c>
      <c r="B10" s="3" t="str">
        <f>'Leaflet text'!$A$6&amp;'Gardens 1'!$B11&amp;'Leaflet text'!$B$6&amp;'Gardens 1'!$A11&amp;'Leaflet text'!$C$6&amp;"
"&amp;'Leaflet text'!$A$7&amp;$A10&amp;'Leaflet text'!$B$7&amp;$A10&amp;'Leaflet text'!$C$7</f>
        <v xml:space="preserve">L.marker([-33.92237019,151.0332191], {icon: greenIcon}).addTo(map)
  .bindPopup('&lt;a href="./Tree10.html"&gt;Tree 10&lt;/a&gt;'); </v>
      </c>
    </row>
    <row r="11" spans="1:4" ht="28.8" x14ac:dyDescent="0.3">
      <c r="A11">
        <f>ROW('Gardens 1'!A12)-1</f>
        <v>11</v>
      </c>
      <c r="B11" s="3" t="str">
        <f>'Leaflet text'!$A$6&amp;'Gardens 1'!$B12&amp;'Leaflet text'!$B$6&amp;'Gardens 1'!$A12&amp;'Leaflet text'!$C$6&amp;"
"&amp;'Leaflet text'!$A$7&amp;$A11&amp;'Leaflet text'!$B$7&amp;$A11&amp;'Leaflet text'!$C$7</f>
        <v xml:space="preserve">L.marker([-33.92230793,151.0329949], {icon: greenIcon}).addTo(map)
  .bindPopup('&lt;a href="./Tree11.html"&gt;Tree 11&lt;/a&gt;'); </v>
      </c>
    </row>
    <row r="12" spans="1:4" ht="28.8" x14ac:dyDescent="0.3">
      <c r="A12">
        <f>ROW('Gardens 1'!A13)-1</f>
        <v>12</v>
      </c>
      <c r="B12" s="3" t="str">
        <f>'Leaflet text'!$A$6&amp;'Gardens 1'!$B13&amp;'Leaflet text'!$B$6&amp;'Gardens 1'!$A13&amp;'Leaflet text'!$C$6&amp;"
"&amp;'Leaflet text'!$A$7&amp;$A12&amp;'Leaflet text'!$B$7&amp;$A12&amp;'Leaflet text'!$C$7</f>
        <v xml:space="preserve">L.marker([-33.92210701,151.0330612], {icon: greenIcon}).addTo(map)
  .bindPopup('&lt;a href="./Tree12.html"&gt;Tree 12&lt;/a&gt;'); </v>
      </c>
    </row>
    <row r="13" spans="1:4" ht="28.8" x14ac:dyDescent="0.3">
      <c r="A13">
        <f>ROW('Gardens 1'!A14)-1</f>
        <v>13</v>
      </c>
      <c r="B13" s="3" t="str">
        <f>'Leaflet text'!$A$6&amp;'Gardens 1'!$B14&amp;'Leaflet text'!$B$6&amp;'Gardens 1'!$A14&amp;'Leaflet text'!$C$6&amp;"
"&amp;'Leaflet text'!$A$7&amp;$A13&amp;'Leaflet text'!$B$7&amp;$A13&amp;'Leaflet text'!$C$7</f>
        <v xml:space="preserve">L.marker([-33.92221324,151.0332945], {icon: greenIcon}).addTo(map)
  .bindPopup('&lt;a href="./Tree13.html"&gt;Tree 13&lt;/a&gt;'); </v>
      </c>
    </row>
    <row r="14" spans="1:4" ht="28.8" x14ac:dyDescent="0.3">
      <c r="A14">
        <f>ROW('Gardens 1'!A15)-1</f>
        <v>14</v>
      </c>
      <c r="B14" s="3" t="str">
        <f>'Leaflet text'!$A$6&amp;'Gardens 1'!$B15&amp;'Leaflet text'!$B$6&amp;'Gardens 1'!$A15&amp;'Leaflet text'!$C$6&amp;"
"&amp;'Leaflet text'!$A$7&amp;$A14&amp;'Leaflet text'!$B$7&amp;$A14&amp;'Leaflet text'!$C$7</f>
        <v xml:space="preserve">L.marker([-33.92227821,151.0332914], {icon: greenIcon}).addTo(map)
  .bindPopup('&lt;a href="./Tree14.html"&gt;Tree 14&lt;/a&gt;'); </v>
      </c>
    </row>
    <row r="15" spans="1:4" ht="28.8" x14ac:dyDescent="0.3">
      <c r="A15">
        <f>ROW('Gardens 1'!A16)-1</f>
        <v>15</v>
      </c>
      <c r="B15" s="3" t="str">
        <f>'Leaflet text'!$A$6&amp;'Gardens 1'!$B16&amp;'Leaflet text'!$B$6&amp;'Gardens 1'!$A16&amp;'Leaflet text'!$C$6&amp;"
"&amp;'Leaflet text'!$A$7&amp;$A15&amp;'Leaflet text'!$B$7&amp;$A15&amp;'Leaflet text'!$C$7</f>
        <v xml:space="preserve">L.marker([-33.92238669,151.033345], {icon: greenIcon}).addTo(map)
  .bindPopup('&lt;a href="./Tree15.html"&gt;Tree 15&lt;/a&gt;'); </v>
      </c>
    </row>
    <row r="16" spans="1:4" ht="28.8" x14ac:dyDescent="0.3">
      <c r="A16">
        <f>ROW('Gardens 1'!A17)-1</f>
        <v>16</v>
      </c>
      <c r="B16" s="3" t="str">
        <f>'Leaflet text'!$A$6&amp;'Gardens 1'!$B17&amp;'Leaflet text'!$B$6&amp;'Gardens 1'!$A17&amp;'Leaflet text'!$C$6&amp;"
"&amp;'Leaflet text'!$A$7&amp;$A16&amp;'Leaflet text'!$B$7&amp;$A16&amp;'Leaflet text'!$C$7</f>
        <v xml:space="preserve">L.marker([-33.92236111,151.0331293], {icon: greenIcon}).addTo(map)
  .bindPopup('&lt;a href="./Tree16.html"&gt;Tree 16&lt;/a&gt;'); </v>
      </c>
    </row>
    <row r="17" spans="1:2" ht="28.8" x14ac:dyDescent="0.3">
      <c r="A17">
        <f>ROW('Gardens 1'!A18)-1</f>
        <v>17</v>
      </c>
      <c r="B17" s="3" t="str">
        <f>'Leaflet text'!$A$6&amp;'Gardens 1'!$B18&amp;'Leaflet text'!$B$6&amp;'Gardens 1'!$A18&amp;'Leaflet text'!$C$6&amp;"
"&amp;'Leaflet text'!$A$7&amp;$A17&amp;'Leaflet text'!$B$7&amp;$A17&amp;'Leaflet text'!$C$7</f>
        <v xml:space="preserve">L.marker([-33.92222906,151.0331337], {icon: greenIcon}).addTo(map)
  .bindPopup('&lt;a href="./Tree17.html"&gt;Tree 17&lt;/a&gt;'); </v>
      </c>
    </row>
    <row r="18" spans="1:2" x14ac:dyDescent="0.3">
      <c r="B18" s="3"/>
    </row>
    <row r="19" spans="1:2" x14ac:dyDescent="0.3">
      <c r="B19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4C6E-196D-47EC-B8CD-419753D2AE5D}">
  <dimension ref="A1:J5"/>
  <sheetViews>
    <sheetView workbookViewId="0">
      <selection activeCell="J1" sqref="J1:J5"/>
    </sheetView>
  </sheetViews>
  <sheetFormatPr defaultRowHeight="14.4" x14ac:dyDescent="0.3"/>
  <sheetData>
    <row r="1" spans="1:10" x14ac:dyDescent="0.3">
      <c r="A1">
        <v>5</v>
      </c>
      <c r="B1" t="s">
        <v>96</v>
      </c>
      <c r="C1" s="21" t="s">
        <v>97</v>
      </c>
      <c r="I1" t="str">
        <f>'Leaflet text'!$A$6&amp;Hunt2!C1&amp;'Leaflet text'!$C$6&amp;"
"&amp;'Leaflet text'!$A$7&amp;Hunt2!A1&amp;'Leaflet text'!$B$7&amp;Hunt2!A1&amp;'Leaflet text'!$C$7</f>
        <v xml:space="preserve">L.marker([-33.97804745713309, 151.05558168245958], {icon: greenIcon}).addTo(map)
  .bindPopup('&lt;a href="./Tree5.html"&gt;Tree 5&lt;/a&gt;'); </v>
      </c>
      <c r="J1" s="22" t="s">
        <v>98</v>
      </c>
    </row>
    <row r="2" spans="1:10" x14ac:dyDescent="0.3">
      <c r="A2">
        <v>4</v>
      </c>
      <c r="B2" t="s">
        <v>99</v>
      </c>
      <c r="C2" s="21" t="s">
        <v>100</v>
      </c>
      <c r="I2" t="str">
        <f>'Leaflet text'!$A$6&amp;Hunt2!C2&amp;'Leaflet text'!$C$6&amp;"
"&amp;'Leaflet text'!$A$7&amp;Hunt2!A2&amp;'Leaflet text'!$B$7&amp;Hunt2!A2&amp;'Leaflet text'!$C$7</f>
        <v xml:space="preserve">L.marker([-33.97861357989953, 151.05546538769633], {icon: greenIcon}).addTo(map)
  .bindPopup('&lt;a href="./Tree4.html"&gt;Tree 4&lt;/a&gt;'); </v>
      </c>
      <c r="J2" s="22" t="s">
        <v>101</v>
      </c>
    </row>
    <row r="3" spans="1:10" x14ac:dyDescent="0.3">
      <c r="A3">
        <v>3</v>
      </c>
      <c r="B3" t="s">
        <v>102</v>
      </c>
      <c r="C3" s="21" t="s">
        <v>103</v>
      </c>
      <c r="I3" t="str">
        <f>'Leaflet text'!$A$6&amp;Hunt2!C3&amp;'Leaflet text'!$C$6&amp;"
"&amp;'Leaflet text'!$A$7&amp;Hunt2!A3&amp;'Leaflet text'!$B$7&amp;Hunt2!A3&amp;'Leaflet text'!$C$7</f>
        <v xml:space="preserve">L.marker([-33.978701087498635, 151.0541387659527], {icon: greenIcon}).addTo(map)
  .bindPopup('&lt;a href="./Tree3.html"&gt;Tree 3&lt;/a&gt;'); </v>
      </c>
      <c r="J3" s="22" t="s">
        <v>104</v>
      </c>
    </row>
    <row r="4" spans="1:10" x14ac:dyDescent="0.3">
      <c r="A4">
        <v>2</v>
      </c>
      <c r="B4" t="s">
        <v>105</v>
      </c>
      <c r="C4" t="s">
        <v>106</v>
      </c>
      <c r="I4" t="str">
        <f>'Leaflet text'!$A$6&amp;Hunt2!C4&amp;'Leaflet text'!$C$6&amp;"
"&amp;'Leaflet text'!$A$7&amp;Hunt2!A4&amp;'Leaflet text'!$B$7&amp;Hunt2!A4&amp;'Leaflet text'!$C$7</f>
        <v xml:space="preserve">L.marker([-33.9782857574103, 151.05607345240398], {icon: greenIcon}).addTo(map)
  .bindPopup('&lt;a href="./Tree2.html"&gt;Tree 2&lt;/a&gt;'); </v>
      </c>
      <c r="J4" s="22" t="s">
        <v>107</v>
      </c>
    </row>
    <row r="5" spans="1:10" x14ac:dyDescent="0.3">
      <c r="A5">
        <v>1</v>
      </c>
      <c r="B5" t="s">
        <v>108</v>
      </c>
      <c r="C5" t="s">
        <v>109</v>
      </c>
      <c r="I5" t="str">
        <f>'Leaflet text'!$A$6&amp;Hunt2!C5&amp;'Leaflet text'!$C$6&amp;"
"&amp;'Leaflet text'!$A$7&amp;Hunt2!A5&amp;'Leaflet text'!$B$7&amp;Hunt2!A5&amp;'Leaflet text'!$C$7</f>
        <v xml:space="preserve">L.marker([-33.97679758589208, 151.05888488759294], {icon: greenIcon}).addTo(map)
  .bindPopup('&lt;a href="./Tree1.html"&gt;Tree 1&lt;/a&gt;'); </v>
      </c>
      <c r="J5" s="2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Gardens 1</vt:lpstr>
      <vt:lpstr>Model list</vt:lpstr>
      <vt:lpstr>Leaflet text</vt:lpstr>
      <vt:lpstr>AR Text</vt:lpstr>
      <vt:lpstr>Create AR Per Tree</vt:lpstr>
      <vt:lpstr>Add markers to map</vt:lpstr>
      <vt:lpstr>Hunt2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Robert Noar</cp:lastModifiedBy>
  <cp:revision/>
  <dcterms:created xsi:type="dcterms:W3CDTF">2021-09-06T06:58:17Z</dcterms:created>
  <dcterms:modified xsi:type="dcterms:W3CDTF">2026-01-14T22:58:00Z</dcterms:modified>
  <cp:category/>
  <cp:contentStatus/>
</cp:coreProperties>
</file>